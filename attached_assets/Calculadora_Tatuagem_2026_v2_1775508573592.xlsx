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ece Aqui" sheetId="1" state="visible" r:id="rId3"/>
    <sheet name="Tabela_Preço" sheetId="2" state="visible" r:id="rId4"/>
    <sheet name="Material" sheetId="3" state="visible" r:id="rId5"/>
    <sheet name="Apps Pagos &amp; Tráfego" sheetId="4" state="visible" r:id="rId6"/>
    <sheet name="Calculadora" sheetId="5" state="visible" r:id="rId7"/>
    <sheet name="Depreciaçã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<sst xmlns="http://schemas.openxmlformats.org/spreadsheetml/2006/main" count="281" uniqueCount="209">
  <si>
    <t xml:space="preserve">01. Siga a ordem das abas.</t>
  </si>
  <si>
    <t xml:space="preserve">As abas estão na ordem correta para você entrar com os</t>
  </si>
  <si>
    <t xml:space="preserve">dados necessários em cada uma delas. Não pule etapas.</t>
  </si>
  <si>
    <t xml:space="preserve">Como Usar</t>
  </si>
  <si>
    <t xml:space="preserve">02. Altere os campos em azul em "Tabela_Preço" e "Materiais"</t>
  </si>
  <si>
    <t xml:space="preserve">esta Planilha</t>
  </si>
  <si>
    <t xml:space="preserve">Altere somente os campos em azul, de acordo com a sua</t>
  </si>
  <si>
    <t xml:space="preserve">realidade. Por exemplo, pode ser que o seu estúdio cobre 50%</t>
  </si>
  <si>
    <t xml:space="preserve">de comissão. Faça essa alteração.</t>
  </si>
  <si>
    <t xml:space="preserve">Um guia Rápido para Você Calcular</t>
  </si>
  <si>
    <t xml:space="preserve">Valores Base para suas Tatuagens</t>
  </si>
  <si>
    <t xml:space="preserve">03. Altere os campos em azul na aba "Calculadora"</t>
  </si>
  <si>
    <t xml:space="preserve">Altere os campos em azul de acordo com o seu valor/hora, a</t>
  </si>
  <si>
    <t xml:space="preserve">quantidade de horas para execução da tatuagem, a quantidade</t>
  </si>
  <si>
    <t xml:space="preserve">de horas para execução do desenho e as taxas da sua máquina.</t>
  </si>
  <si>
    <t xml:space="preserve">04. E pronto!</t>
  </si>
  <si>
    <t xml:space="preserve">No campo "COBRAR" você vai encontrar o valor</t>
  </si>
  <si>
    <t xml:space="preserve">que deveria cobrar pela tatuagem.</t>
  </si>
  <si>
    <t xml:space="preserve">Criada por LORENA MELO</t>
  </si>
  <si>
    <t xml:space="preserve">VALORES BASE</t>
  </si>
  <si>
    <t xml:space="preserve">*Esses valores irão servir como BASE para seu cálculo. O valor mais exato poderá ser feito na aba 'calculadora'.</t>
  </si>
  <si>
    <t xml:space="preserve">*Alterar somente os valores em AZUL.</t>
  </si>
  <si>
    <t xml:space="preserve">VALOR IDEAL A SOMAR NO SEU TRABALHO BASE</t>
  </si>
  <si>
    <t xml:space="preserve">30% do estúdio + 10% material e reserva.</t>
  </si>
  <si>
    <t xml:space="preserve">% estúdio (%E)</t>
  </si>
  <si>
    <t xml:space="preserve">* Altere de acordo com o seu estúdio.</t>
  </si>
  <si>
    <t xml:space="preserve">%material &amp; reserva (MR)</t>
  </si>
  <si>
    <t xml:space="preserve">* Altere de acordo com a sua realidade.</t>
  </si>
  <si>
    <t xml:space="preserve">Total % (T%)</t>
  </si>
  <si>
    <t xml:space="preserve">Tabela de Preços Médios Para Propostas com base em TAMANHO em cm</t>
  </si>
  <si>
    <t xml:space="preserve">Tamanho (cm)</t>
  </si>
  <si>
    <t xml:space="preserve">Preço Mínimo</t>
  </si>
  <si>
    <t xml:space="preserve">Preço Máximo</t>
  </si>
  <si>
    <t xml:space="preserve">Preço Mínimo COBRAR</t>
  </si>
  <si>
    <t xml:space="preserve">Preço Máximo COBRAR</t>
  </si>
  <si>
    <t xml:space="preserve">8 - 10 cm</t>
  </si>
  <si>
    <t xml:space="preserve">10-15 cm</t>
  </si>
  <si>
    <t xml:space="preserve">15-20 cm</t>
  </si>
  <si>
    <t xml:space="preserve">20 - 25 cm</t>
  </si>
  <si>
    <t xml:space="preserve">25 - 30 cm</t>
  </si>
  <si>
    <t xml:space="preserve">*valores finais somados a 40%: 30% porcentagem do estúdio + 10% de reserva para material.</t>
  </si>
  <si>
    <t xml:space="preserve">Valores de Sessões com base em TEMPO/hora</t>
  </si>
  <si>
    <t xml:space="preserve">Sessão Hora (SH)</t>
  </si>
  <si>
    <t xml:space="preserve">Valor Líquido (VL)</t>
  </si>
  <si>
    <t xml:space="preserve">Valor Cobrado (VC)</t>
  </si>
  <si>
    <t xml:space="preserve">hora de trabalho (HT) = </t>
  </si>
  <si>
    <t xml:space="preserve">* Altere aqui o valor da sua hora de trabalho.</t>
  </si>
  <si>
    <t xml:space="preserve">VL = SH * HT</t>
  </si>
  <si>
    <t xml:space="preserve">VC = VL * (T%)</t>
  </si>
  <si>
    <t xml:space="preserve">Isto fará com que o VL e VC se alterem também.</t>
  </si>
  <si>
    <t xml:space="preserve">MATERIAL UTILIZADO</t>
  </si>
  <si>
    <t xml:space="preserve">*Altere os nomes das marcas que você usa.</t>
  </si>
  <si>
    <t xml:space="preserve">*Aqui você vai fazer a alteração para cada orçamento.</t>
  </si>
  <si>
    <t xml:space="preserve">Cartuchos</t>
  </si>
  <si>
    <t xml:space="preserve">Preço</t>
  </si>
  <si>
    <t xml:space="preserve">Linha</t>
  </si>
  <si>
    <t xml:space="preserve">Qtdade</t>
  </si>
  <si>
    <t xml:space="preserve">SubTotal</t>
  </si>
  <si>
    <t xml:space="preserve">Kwadron RL</t>
  </si>
  <si>
    <t xml:space="preserve">*Altere aqui quantos cartuchos você pretende usar no trabalho.</t>
  </si>
  <si>
    <t xml:space="preserve">Kwadron RS</t>
  </si>
  <si>
    <t xml:space="preserve">Kwadron MG</t>
  </si>
  <si>
    <t xml:space="preserve">Cheyenne RL</t>
  </si>
  <si>
    <t xml:space="preserve">Craft</t>
  </si>
  <si>
    <t xml:space="preserve">Cheyenne RS</t>
  </si>
  <si>
    <t xml:space="preserve">Cheyenne MG</t>
  </si>
  <si>
    <t xml:space="preserve">Total CARTUCHOS</t>
  </si>
  <si>
    <t xml:space="preserve">Agulhas haste</t>
  </si>
  <si>
    <t xml:space="preserve">ElectricInk RL/RS</t>
  </si>
  <si>
    <t xml:space="preserve">Perfect</t>
  </si>
  <si>
    <t xml:space="preserve">ElectricInk MG</t>
  </si>
  <si>
    <t xml:space="preserve">BlackCat</t>
  </si>
  <si>
    <t xml:space="preserve">Premium</t>
  </si>
  <si>
    <t xml:space="preserve">Total Agulhas de Haste</t>
  </si>
  <si>
    <t xml:space="preserve">Biqueiras</t>
  </si>
  <si>
    <t xml:space="preserve">Tipo</t>
  </si>
  <si>
    <t xml:space="preserve">Total Biqueiras</t>
  </si>
  <si>
    <t xml:space="preserve">Total AGULHAS E BIQUEIRAS</t>
  </si>
  <si>
    <t xml:space="preserve">CÁLCULO QTDE DE LUVAS, TINTA E TRANSFER</t>
  </si>
  <si>
    <t xml:space="preserve">Tatuagens por ano ( Tattoos / ano) :</t>
  </si>
  <si>
    <t xml:space="preserve">Pares por caixa</t>
  </si>
  <si>
    <t xml:space="preserve">Altere aqui aproximadamente quantas tatuagens você faz por ano.</t>
  </si>
  <si>
    <t xml:space="preserve">Tattoos / ano</t>
  </si>
  <si>
    <t xml:space="preserve">Isso pode ser calculado pensando em quantas em média você faz por mês.</t>
  </si>
  <si>
    <t xml:space="preserve">Pares de Luvas/tattoo</t>
  </si>
  <si>
    <t xml:space="preserve">Valor/par MEDIX</t>
  </si>
  <si>
    <t xml:space="preserve">Valor/par SUPERMAX</t>
  </si>
  <si>
    <t xml:space="preserve">Tinta (240ml)</t>
  </si>
  <si>
    <t xml:space="preserve">Preço/frasco</t>
  </si>
  <si>
    <t xml:space="preserve">Qtde/ano?</t>
  </si>
  <si>
    <t xml:space="preserve">Valor cobrar/ttt</t>
  </si>
  <si>
    <t xml:space="preserve">Valor da tinta e transfer :</t>
  </si>
  <si>
    <t xml:space="preserve">JetBlack</t>
  </si>
  <si>
    <t xml:space="preserve">Altere aqui por quanto você tem comprado sua tinta e transfer.</t>
  </si>
  <si>
    <t xml:space="preserve">Dynamic</t>
  </si>
  <si>
    <t xml:space="preserve">Tinta Vermelha</t>
  </si>
  <si>
    <t xml:space="preserve">Tinta Azul</t>
  </si>
  <si>
    <t xml:space="preserve">Etc</t>
  </si>
  <si>
    <t xml:space="preserve">Total TINTAS</t>
  </si>
  <si>
    <t xml:space="preserve">Transfer</t>
  </si>
  <si>
    <t xml:space="preserve">It ElectricInk</t>
  </si>
  <si>
    <t xml:space="preserve">Mboah</t>
  </si>
  <si>
    <t xml:space="preserve">Luva</t>
  </si>
  <si>
    <t xml:space="preserve">Preço/caixa</t>
  </si>
  <si>
    <t xml:space="preserve">Qtde/Tattoo?</t>
  </si>
  <si>
    <t xml:space="preserve">Valor das luvas (valor/caixa) :</t>
  </si>
  <si>
    <t xml:space="preserve">Medix (50 pares)</t>
  </si>
  <si>
    <t xml:space="preserve">Altere aqui por quanto você tem comprado suas luvas.</t>
  </si>
  <si>
    <t xml:space="preserve">SuperMax (50 pares)</t>
  </si>
  <si>
    <t xml:space="preserve">TOTAL MATERIAL</t>
  </si>
  <si>
    <t xml:space="preserve">MENSALIDADE DE APPS UTILIZADOS &amp; TRÁFEGO PAGO</t>
  </si>
  <si>
    <t xml:space="preserve">Tattoos/mês</t>
  </si>
  <si>
    <t xml:space="preserve">Mensalidades (Fixas)</t>
  </si>
  <si>
    <t xml:space="preserve">Tráfego Pago (variável)</t>
  </si>
  <si>
    <t xml:space="preserve">App</t>
  </si>
  <si>
    <t xml:space="preserve">Valor</t>
  </si>
  <si>
    <t xml:space="preserve">Ad</t>
  </si>
  <si>
    <t xml:space="preserve">Valor Colocado/mês</t>
  </si>
  <si>
    <t xml:space="preserve">Apple iCloud</t>
  </si>
  <si>
    <t xml:space="preserve">Google Ads</t>
  </si>
  <si>
    <t xml:space="preserve">Google Cloud</t>
  </si>
  <si>
    <t xml:space="preserve">Instagram Ads</t>
  </si>
  <si>
    <t xml:space="preserve">Adobe Pack Simples</t>
  </si>
  <si>
    <t xml:space="preserve">Total</t>
  </si>
  <si>
    <t xml:space="preserve">Canva</t>
  </si>
  <si>
    <t xml:space="preserve">Cobrar na tattoo</t>
  </si>
  <si>
    <t xml:space="preserve">Acuity</t>
  </si>
  <si>
    <t xml:space="preserve">Wix</t>
  </si>
  <si>
    <t xml:space="preserve">CALCULADORA</t>
  </si>
  <si>
    <t xml:space="preserve">* Aqui você encontrará o valor CALCULADO sugerido/mais próximo do que você deveria cobrar.</t>
  </si>
  <si>
    <t xml:space="preserve">* Altere aqui a quantidade de horas de trabalho e o valor da sua hora, tanto para tatuagem quanto para criação da arte.</t>
  </si>
  <si>
    <t xml:space="preserve">*Alterar somente os valores escritos em AZUL.</t>
  </si>
  <si>
    <t xml:space="preserve">Item/Serviço</t>
  </si>
  <si>
    <t xml:space="preserve">Quantidade</t>
  </si>
  <si>
    <t xml:space="preserve">Valor/hora ou Quantidade</t>
  </si>
  <si>
    <t xml:space="preserve">Sub Total</t>
  </si>
  <si>
    <t xml:space="preserve">Juros Máquina Cartão</t>
  </si>
  <si>
    <t xml:space="preserve">Valor parcelado</t>
  </si>
  <si>
    <t xml:space="preserve">Horas de Sessão Prevista</t>
  </si>
  <si>
    <t xml:space="preserve">2x</t>
  </si>
  <si>
    <t xml:space="preserve">Materiais</t>
  </si>
  <si>
    <t xml:space="preserve">3x</t>
  </si>
  <si>
    <t xml:space="preserve">Apps/Assinaturas</t>
  </si>
  <si>
    <t xml:space="preserve">4x</t>
  </si>
  <si>
    <t xml:space="preserve">Tráfego Pago</t>
  </si>
  <si>
    <t xml:space="preserve">5x</t>
  </si>
  <si>
    <t xml:space="preserve">Criação/Concepção</t>
  </si>
  <si>
    <t xml:space="preserve">6x</t>
  </si>
  <si>
    <t xml:space="preserve">Depreciação de Eletrônicos</t>
  </si>
  <si>
    <t xml:space="preserve">7x</t>
  </si>
  <si>
    <t xml:space="preserve">Custos Administrativos/Lanche</t>
  </si>
  <si>
    <t xml:space="preserve">8x</t>
  </si>
  <si>
    <t xml:space="preserve">9x</t>
  </si>
  <si>
    <t xml:space="preserve">Sub total</t>
  </si>
  <si>
    <t xml:space="preserve">10x</t>
  </si>
  <si>
    <t xml:space="preserve">COBRAR (SEM JUROS)</t>
  </si>
  <si>
    <t xml:space="preserve">* altere aqui a porcentagem de juros cobrada pela sua máquina.</t>
  </si>
  <si>
    <t xml:space="preserve">COBRAR (COM JUROS)</t>
  </si>
  <si>
    <t xml:space="preserve">A receber</t>
  </si>
  <si>
    <t xml:space="preserve">1. O valor com juros está padrão como 10x.</t>
  </si>
  <si>
    <t xml:space="preserve">2. COBRAR(SEM JUROS): este valor já inclui a comissão do estúdio.</t>
  </si>
  <si>
    <t xml:space="preserve">*materiais = cartuchos + agulhas + tinta + luvas + transfer + sabão.</t>
  </si>
  <si>
    <t xml:space="preserve">A seguir, o cálculo de como é chegar no valor a ser cobrado SEM e COM JUROS, caso você queira embutir no valor.</t>
  </si>
  <si>
    <t xml:space="preserve">Use o SEM JUROS se você for dar essa opção separada para o cliente - ele decide se quer parcelar e arca com a diferença</t>
  </si>
  <si>
    <t xml:space="preserve"> - a mesma coisa que acontece aqui no COM JUROS, porém aqui estava embutido, para você ter uma noção de quanto ficaria parcelado.</t>
  </si>
  <si>
    <t xml:space="preserve">SEM JUROS</t>
  </si>
  <si>
    <t xml:space="preserve">Parcelas:</t>
  </si>
  <si>
    <t xml:space="preserve">Cálculo:</t>
  </si>
  <si>
    <t xml:space="preserve">x = 1082 + % máquina (x) + % estúdio (x)
x - 0,3x - Mx = 1082 
(M = % máquina)</t>
  </si>
  <si>
    <t xml:space="preserve">x - 0,3x - 0,098x</t>
  </si>
  <si>
    <t xml:space="preserve">x - 0,3x - 0,111x</t>
  </si>
  <si>
    <t xml:space="preserve">x - 0,3x - 0,125x</t>
  </si>
  <si>
    <t xml:space="preserve">x - 0,3x - 0,138x</t>
  </si>
  <si>
    <t xml:space="preserve">x - 0,3x - 0,151x</t>
  </si>
  <si>
    <t xml:space="preserve">x - 0,3x - 0,164x</t>
  </si>
  <si>
    <t xml:space="preserve">x - 0,3x - 0,177x</t>
  </si>
  <si>
    <t xml:space="preserve">x - 0,3x - 0,19x</t>
  </si>
  <si>
    <t xml:space="preserve">x - 0,3x - 0,201x</t>
  </si>
  <si>
    <t xml:space="preserve">Fator de multiplicação</t>
  </si>
  <si>
    <t xml:space="preserve">Valor a cobrar:     </t>
  </si>
  <si>
    <t xml:space="preserve">% Máquina:     </t>
  </si>
  <si>
    <t xml:space="preserve">variado</t>
  </si>
  <si>
    <t xml:space="preserve">Valor a receber:     </t>
  </si>
  <si>
    <t xml:space="preserve">% Estúdio:     </t>
  </si>
  <si>
    <t xml:space="preserve">Valor a cobrar:</t>
  </si>
  <si>
    <t xml:space="preserve">Para tudo:</t>
  </si>
  <si>
    <t xml:space="preserve">Valor a cobrar = valor a receber + 30% do valor a cobrar + %parcelamento sobre o valor a cobrar</t>
  </si>
  <si>
    <t xml:space="preserve">OU       Valor a cobrar (VC) * Fator de Multiplicação (FM) =  Valor a receber (VR)</t>
  </si>
  <si>
    <t xml:space="preserve">Exemplo: </t>
  </si>
  <si>
    <t xml:space="preserve">VC *FM = VR</t>
  </si>
  <si>
    <t xml:space="preserve">VC*0,602 = 1797,34</t>
  </si>
  <si>
    <t xml:space="preserve">COM JUROS</t>
  </si>
  <si>
    <t xml:space="preserve">Fórmula básica</t>
  </si>
  <si>
    <t xml:space="preserve">X = 1082 / (1-0,3-0,098) = 1797                            &lt;&lt; cálculo igual para todos, mudando apenas o % do parcelamento</t>
  </si>
  <si>
    <t xml:space="preserve">* valor alterado na aba "tabela_preço"</t>
  </si>
  <si>
    <t xml:space="preserve">DEPRECIAÇÃO DE ELETRÔNICOS</t>
  </si>
  <si>
    <t xml:space="preserve">DA = (VI – VR)/VU</t>
  </si>
  <si>
    <t xml:space="preserve">Depreciação iPad</t>
  </si>
  <si>
    <t xml:space="preserve">DA = Depreciação anual</t>
  </si>
  <si>
    <t xml:space="preserve">VI = Valor inicial ou de aquisição</t>
  </si>
  <si>
    <t xml:space="preserve">VR = Valor residual ou de sucata</t>
  </si>
  <si>
    <t xml:space="preserve">VU = Vida útil</t>
  </si>
  <si>
    <t xml:space="preserve">anos</t>
  </si>
  <si>
    <t xml:space="preserve">DA = </t>
  </si>
  <si>
    <t xml:space="preserve">Desta forma, anualmente o equipamento trará um custo adicional às suas despesas.</t>
  </si>
  <si>
    <t xml:space="preserve">Depreciação Máquina Tattoo</t>
  </si>
  <si>
    <t xml:space="preserve">Depreciação total dos eletrônicos/ano</t>
  </si>
  <si>
    <t xml:space="preserve">tattoos por ano</t>
  </si>
  <si>
    <t xml:space="preserve">Depreciação a ser dividida/trabalho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</si>
</sst>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%"/>
    <numFmt numFmtId="166" formatCode="0.00%"/>
    <numFmt numFmtId="167" formatCode="General"/>
    <numFmt numFmtId="168" formatCode="&quot;R$ &quot;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28"/>
      <name val="Cambria"/>
      <family val="0"/>
      <charset val="1"/>
    </font>
    <font>
      <sz val="11"/>
      <color rgb="FF666666"/>
      <name val="Cambria"/>
      <family val="0"/>
      <charset val="1"/>
    </font>
    <font>
      <b val="true"/>
      <sz val="14"/>
      <name val="Cambria"/>
      <family val="0"/>
      <charset val="1"/>
    </font>
    <font>
      <i val="true"/>
      <sz val="10"/>
      <color rgb="FF666666"/>
      <name val="Cambria"/>
      <family val="0"/>
      <charset val="1"/>
    </font>
    <font>
      <sz val="11"/>
      <color rgb="FF0066CC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6"/>
      <name val="Cambria"/>
      <family val="0"/>
      <charset val="1"/>
    </font>
    <font>
      <i val="true"/>
      <sz val="11"/>
      <color rgb="FF0066CC"/>
      <name val="Cambria"/>
      <family val="0"/>
      <charset val="1"/>
    </font>
    <font>
      <b val="true"/>
      <sz val="12"/>
      <color rgb="FF006100"/>
      <name val="Cambria"/>
      <family val="0"/>
      <charset val="1"/>
    </font>
    <font>
      <i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6EFCE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2" style="0" width="12"/>
    <col collapsed="false" customWidth="true" hidden="false" outlineLevel="0" max="8" min="8" style="0" width="55"/>
  </cols>
  <sheetData>
    <row r="2" customFormat="false" ht="15" hidden="false" customHeight="false" outlineLevel="0" collapsed="false">
      <c r="H2" s="1" t="s">
        <v>0</v>
      </c>
    </row>
    <row r="4" customFormat="false" ht="15" hidden="false" customHeight="false" outlineLevel="0" collapsed="false">
      <c r="H4" s="0" t="s">
        <v>1</v>
      </c>
    </row>
    <row r="5" customFormat="false" ht="15" hidden="false" customHeight="false" outlineLevel="0" collapsed="false">
      <c r="H5" s="0" t="s">
        <v>2</v>
      </c>
    </row>
    <row r="7" customFormat="false" ht="33.85" hidden="false" customHeight="false" outlineLevel="0" collapsed="false">
      <c r="B7" s="2" t="s">
        <v>3</v>
      </c>
      <c r="H7" s="1" t="s">
        <v>4</v>
      </c>
    </row>
    <row r="8" customFormat="false" ht="33.85" hidden="false" customHeight="false" outlineLevel="0" collapsed="false">
      <c r="B8" s="2" t="s">
        <v>5</v>
      </c>
    </row>
    <row r="9" customFormat="false" ht="15" hidden="false" customHeight="false" outlineLevel="0" collapsed="false">
      <c r="H9" s="0" t="s">
        <v>6</v>
      </c>
    </row>
    <row r="10" customFormat="false" ht="15" hidden="false" customHeight="false" outlineLevel="0" collapsed="false">
      <c r="H10" s="0" t="s">
        <v>7</v>
      </c>
    </row>
    <row r="11" customFormat="false" ht="15" hidden="false" customHeight="false" outlineLevel="0" collapsed="false">
      <c r="H11" s="0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  <c r="H13" s="1" t="s">
        <v>11</v>
      </c>
    </row>
    <row r="15" customFormat="false" ht="15" hidden="false" customHeight="false" outlineLevel="0" collapsed="false">
      <c r="H15" s="0" t="s">
        <v>12</v>
      </c>
    </row>
    <row r="16" customFormat="false" ht="15" hidden="false" customHeight="false" outlineLevel="0" collapsed="false">
      <c r="H16" s="0" t="s">
        <v>13</v>
      </c>
    </row>
    <row r="17" customFormat="false" ht="15" hidden="false" customHeight="false" outlineLevel="0" collapsed="false">
      <c r="H17" s="0" t="s">
        <v>14</v>
      </c>
    </row>
    <row r="19" customFormat="false" ht="15" hidden="false" customHeight="false" outlineLevel="0" collapsed="false">
      <c r="H19" s="1" t="s">
        <v>15</v>
      </c>
    </row>
    <row r="21" customFormat="false" ht="15" hidden="false" customHeight="false" outlineLevel="0" collapsed="false">
      <c r="H21" s="0" t="s">
        <v>16</v>
      </c>
    </row>
    <row r="22" customFormat="false" ht="15" hidden="false" customHeight="false" outlineLevel="0" collapsed="false">
      <c r="H22" s="0" t="s">
        <v>17</v>
      </c>
    </row>
    <row r="23" customFormat="false" ht="15" hidden="false" customHeight="false" outlineLevel="0" collapsed="false">
      <c r="B23" s="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G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3" style="0" width="25"/>
    <col collapsed="false" customWidth="true" hidden="false" outlineLevel="0" max="5" min="4" style="0" width="15"/>
    <col collapsed="false" customWidth="true" hidden="false" outlineLevel="0" max="7" min="6" style="0" width="20"/>
  </cols>
  <sheetData>
    <row r="1" customFormat="false" ht="17.35" hidden="false" customHeight="false" outlineLevel="0" collapsed="false">
      <c r="C1" s="4" t="s">
        <v>19</v>
      </c>
    </row>
    <row r="3" customFormat="false" ht="15" hidden="false" customHeight="false" outlineLevel="0" collapsed="false">
      <c r="C3" s="5" t="s">
        <v>20</v>
      </c>
    </row>
    <row r="4" customFormat="false" ht="15" hidden="false" customHeight="false" outlineLevel="0" collapsed="false">
      <c r="C4" s="5" t="s">
        <v>21</v>
      </c>
    </row>
    <row r="6" customFormat="false" ht="15" hidden="false" customHeight="false" outlineLevel="0" collapsed="false">
      <c r="C6" s="1" t="s">
        <v>22</v>
      </c>
    </row>
    <row r="7" customFormat="false" ht="15" hidden="false" customHeight="false" outlineLevel="0" collapsed="false">
      <c r="C7" s="0" t="s">
        <v>23</v>
      </c>
    </row>
    <row r="8" customFormat="false" ht="15" hidden="false" customHeight="false" outlineLevel="0" collapsed="false">
      <c r="C8" s="0" t="s">
        <v>24</v>
      </c>
      <c r="D8" s="6" t="n">
        <v>0.3</v>
      </c>
      <c r="E8" s="5" t="s">
        <v>25</v>
      </c>
    </row>
    <row r="9" customFormat="false" ht="15" hidden="false" customHeight="false" outlineLevel="0" collapsed="false">
      <c r="C9" s="0" t="s">
        <v>26</v>
      </c>
      <c r="D9" s="7" t="n">
        <f aca="false">10%</f>
        <v>0.1</v>
      </c>
      <c r="E9" s="5" t="s">
        <v>27</v>
      </c>
    </row>
    <row r="10" customFormat="false" ht="15" hidden="false" customHeight="false" outlineLevel="0" collapsed="false">
      <c r="C10" s="0" t="s">
        <v>28</v>
      </c>
      <c r="D10" s="8" t="n">
        <f aca="false">D8+D9</f>
        <v>0.4</v>
      </c>
    </row>
    <row r="12" customFormat="false" ht="15" hidden="false" customHeight="false" outlineLevel="0" collapsed="false">
      <c r="C12" s="1" t="s">
        <v>29</v>
      </c>
    </row>
    <row r="13" customFormat="false" ht="15" hidden="false" customHeight="false" outlineLevel="0" collapsed="false">
      <c r="C13" s="9" t="s">
        <v>30</v>
      </c>
      <c r="D13" s="9" t="s">
        <v>31</v>
      </c>
      <c r="E13" s="9" t="s">
        <v>32</v>
      </c>
      <c r="F13" s="9" t="s">
        <v>33</v>
      </c>
      <c r="G13" s="9" t="s">
        <v>34</v>
      </c>
    </row>
    <row r="14" customFormat="false" ht="15" hidden="false" customHeight="false" outlineLevel="0" collapsed="false">
      <c r="C14" s="0" t="s">
        <v>35</v>
      </c>
      <c r="D14" s="10" t="n">
        <v>650</v>
      </c>
      <c r="E14" s="10" t="n">
        <v>950</v>
      </c>
      <c r="F14" s="11" t="n">
        <f aca="false">D14+(D14*$D$10)</f>
        <v>910</v>
      </c>
      <c r="G14" s="11" t="n">
        <f aca="false">E14+(E14*$D$10)</f>
        <v>1330</v>
      </c>
    </row>
    <row r="15" customFormat="false" ht="15" hidden="false" customHeight="false" outlineLevel="0" collapsed="false">
      <c r="C15" s="0" t="s">
        <v>36</v>
      </c>
      <c r="D15" s="10" t="n">
        <v>950</v>
      </c>
      <c r="E15" s="10" t="n">
        <v>1200</v>
      </c>
      <c r="F15" s="11" t="n">
        <f aca="false">D15+(D15*$D$10)</f>
        <v>1330</v>
      </c>
      <c r="G15" s="11" t="n">
        <f aca="false">E15+(E15*$D$10)</f>
        <v>1680</v>
      </c>
    </row>
    <row r="16" customFormat="false" ht="15" hidden="false" customHeight="false" outlineLevel="0" collapsed="false">
      <c r="C16" s="0" t="s">
        <v>37</v>
      </c>
      <c r="D16" s="10" t="n">
        <v>1200</v>
      </c>
      <c r="E16" s="10" t="n">
        <v>1450</v>
      </c>
      <c r="F16" s="11" t="n">
        <f aca="false">D16+(D16*$D$10)</f>
        <v>1680</v>
      </c>
      <c r="G16" s="11" t="n">
        <f aca="false">E16+(E16*$D$10)</f>
        <v>2030</v>
      </c>
    </row>
    <row r="17" customFormat="false" ht="15" hidden="false" customHeight="false" outlineLevel="0" collapsed="false">
      <c r="C17" s="0" t="s">
        <v>38</v>
      </c>
      <c r="D17" s="10" t="n">
        <v>1450</v>
      </c>
      <c r="E17" s="10" t="n">
        <v>1800</v>
      </c>
      <c r="F17" s="11" t="n">
        <f aca="false">D17+(D17*$D$10)</f>
        <v>2030</v>
      </c>
      <c r="G17" s="11" t="n">
        <f aca="false">E17+(E17*$D$10)</f>
        <v>2520</v>
      </c>
    </row>
    <row r="18" customFormat="false" ht="15" hidden="false" customHeight="false" outlineLevel="0" collapsed="false">
      <c r="C18" s="0" t="s">
        <v>39</v>
      </c>
      <c r="D18" s="10" t="n">
        <v>1800</v>
      </c>
      <c r="E18" s="10" t="n">
        <v>2200</v>
      </c>
      <c r="F18" s="11" t="n">
        <f aca="false">D18+(D18*$D$10)</f>
        <v>2520</v>
      </c>
      <c r="G18" s="11" t="n">
        <f aca="false">E18+(E18*$D$10)</f>
        <v>3080</v>
      </c>
    </row>
    <row r="19" customFormat="false" ht="15" hidden="false" customHeight="false" outlineLevel="0" collapsed="false">
      <c r="C19" s="5" t="s">
        <v>40</v>
      </c>
    </row>
    <row r="24" customFormat="false" ht="15" hidden="false" customHeight="false" outlineLevel="0" collapsed="false">
      <c r="C24" s="1" t="s">
        <v>41</v>
      </c>
    </row>
    <row r="25" customFormat="false" ht="15" hidden="false" customHeight="false" outlineLevel="0" collapsed="false">
      <c r="C25" s="9" t="s">
        <v>42</v>
      </c>
      <c r="D25" s="9" t="s">
        <v>43</v>
      </c>
      <c r="E25" s="9" t="s">
        <v>44</v>
      </c>
    </row>
    <row r="26" customFormat="false" ht="15" hidden="false" customHeight="false" outlineLevel="0" collapsed="false">
      <c r="C26" s="0" t="n">
        <v>8</v>
      </c>
      <c r="D26" s="0" t="n">
        <f aca="false">8*D30</f>
        <v>1600</v>
      </c>
      <c r="E26" s="0" t="n">
        <f aca="false">D26+(D26*$D$10)</f>
        <v>2240</v>
      </c>
    </row>
    <row r="27" customFormat="false" ht="15" hidden="false" customHeight="false" outlineLevel="0" collapsed="false">
      <c r="C27" s="0" t="n">
        <v>6</v>
      </c>
      <c r="D27" s="0" t="n">
        <f aca="false">6*D30</f>
        <v>1200</v>
      </c>
      <c r="E27" s="0" t="n">
        <f aca="false">D27+(D27*$D$10)</f>
        <v>1680</v>
      </c>
    </row>
    <row r="28" customFormat="false" ht="15" hidden="false" customHeight="false" outlineLevel="0" collapsed="false">
      <c r="C28" s="0" t="n">
        <v>5</v>
      </c>
      <c r="D28" s="0" t="n">
        <f aca="false">5*D30</f>
        <v>1000</v>
      </c>
      <c r="E28" s="0" t="n">
        <f aca="false">D28+(D28*$D$10)</f>
        <v>1400</v>
      </c>
    </row>
    <row r="29" customFormat="false" ht="15" hidden="false" customHeight="false" outlineLevel="0" collapsed="false">
      <c r="C29" s="0" t="n">
        <v>4</v>
      </c>
      <c r="D29" s="0" t="n">
        <f aca="false">4*D30</f>
        <v>800</v>
      </c>
      <c r="E29" s="0" t="n">
        <f aca="false">D29+(D29*$D$10)</f>
        <v>1120</v>
      </c>
    </row>
    <row r="30" customFormat="false" ht="15" hidden="false" customHeight="false" outlineLevel="0" collapsed="false">
      <c r="C30" s="0" t="s">
        <v>45</v>
      </c>
      <c r="D30" s="10" t="n">
        <v>200</v>
      </c>
      <c r="F30" s="5" t="s">
        <v>46</v>
      </c>
    </row>
    <row r="31" customFormat="false" ht="15" hidden="false" customHeight="false" outlineLevel="0" collapsed="false">
      <c r="C31" s="0" t="s">
        <v>47</v>
      </c>
      <c r="D31" s="0" t="s">
        <v>48</v>
      </c>
      <c r="F31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45"/>
  </cols>
  <sheetData>
    <row r="1" customFormat="false" ht="17.35" hidden="false" customHeight="false" outlineLevel="0" collapsed="false">
      <c r="B1" s="4" t="s">
        <v>50</v>
      </c>
    </row>
    <row r="2" customFormat="false" ht="15" hidden="false" customHeight="false" outlineLevel="0" collapsed="false">
      <c r="B2" s="5" t="s">
        <v>21</v>
      </c>
    </row>
    <row r="3" customFormat="false" ht="15" hidden="false" customHeight="false" outlineLevel="0" collapsed="false">
      <c r="B3" s="5" t="s">
        <v>51</v>
      </c>
    </row>
    <row r="4" customFormat="false" ht="15" hidden="false" customHeight="false" outlineLevel="0" collapsed="false">
      <c r="E4" s="5" t="s">
        <v>52</v>
      </c>
    </row>
    <row r="7" customFormat="false" ht="15" hidden="false" customHeight="false" outlineLevel="0" collapsed="false">
      <c r="B7" s="9" t="s">
        <v>53</v>
      </c>
      <c r="C7" s="9" t="s">
        <v>54</v>
      </c>
      <c r="D7" s="9" t="s">
        <v>55</v>
      </c>
      <c r="E7" s="9" t="s">
        <v>56</v>
      </c>
      <c r="F7" s="9" t="s">
        <v>57</v>
      </c>
    </row>
    <row r="8" customFormat="false" ht="15" hidden="false" customHeight="false" outlineLevel="0" collapsed="false">
      <c r="B8" s="0" t="s">
        <v>58</v>
      </c>
      <c r="C8" s="10" t="n">
        <v>20</v>
      </c>
      <c r="E8" s="10" t="n">
        <v>2</v>
      </c>
      <c r="F8" s="11" t="n">
        <f aca="false">E8*C8</f>
        <v>40</v>
      </c>
      <c r="H8" s="5" t="s">
        <v>59</v>
      </c>
    </row>
    <row r="9" customFormat="false" ht="15" hidden="false" customHeight="false" outlineLevel="0" collapsed="false">
      <c r="B9" s="0" t="s">
        <v>60</v>
      </c>
      <c r="C9" s="10" t="n">
        <v>20</v>
      </c>
      <c r="F9" s="11" t="n">
        <f aca="false">E9*C9</f>
        <v>0</v>
      </c>
    </row>
    <row r="10" customFormat="false" ht="15" hidden="false" customHeight="false" outlineLevel="0" collapsed="false">
      <c r="B10" s="0" t="s">
        <v>61</v>
      </c>
      <c r="C10" s="10" t="n">
        <v>20</v>
      </c>
      <c r="F10" s="11" t="n">
        <f aca="false">E10*C10</f>
        <v>0</v>
      </c>
    </row>
    <row r="11" customFormat="false" ht="15" hidden="false" customHeight="false" outlineLevel="0" collapsed="false">
      <c r="B11" s="0" t="s">
        <v>62</v>
      </c>
      <c r="C11" s="10" t="n">
        <v>16</v>
      </c>
      <c r="D11" s="11" t="s">
        <v>63</v>
      </c>
      <c r="F11" s="11" t="n">
        <f aca="false">E11*C11</f>
        <v>0</v>
      </c>
    </row>
    <row r="12" customFormat="false" ht="15" hidden="false" customHeight="false" outlineLevel="0" collapsed="false">
      <c r="B12" s="0" t="s">
        <v>64</v>
      </c>
      <c r="C12" s="10" t="n">
        <v>16</v>
      </c>
      <c r="D12" s="11" t="s">
        <v>63</v>
      </c>
      <c r="F12" s="11" t="n">
        <f aca="false">E12*C12</f>
        <v>0</v>
      </c>
    </row>
    <row r="13" customFormat="false" ht="15" hidden="false" customHeight="false" outlineLevel="0" collapsed="false">
      <c r="B13" s="0" t="s">
        <v>65</v>
      </c>
      <c r="C13" s="10" t="n">
        <v>18</v>
      </c>
      <c r="D13" s="11" t="s">
        <v>63</v>
      </c>
      <c r="F13" s="11" t="n">
        <f aca="false">E13*C13</f>
        <v>0</v>
      </c>
    </row>
    <row r="14" customFormat="false" ht="15" hidden="false" customHeight="false" outlineLevel="0" collapsed="false">
      <c r="F14" s="0" t="n">
        <f aca="false">E14*C14</f>
        <v>0</v>
      </c>
    </row>
    <row r="15" customFormat="false" ht="15" hidden="false" customHeight="false" outlineLevel="0" collapsed="false">
      <c r="F15" s="0" t="n">
        <f aca="false">E15*C15</f>
        <v>0</v>
      </c>
    </row>
    <row r="16" customFormat="false" ht="15" hidden="false" customHeight="false" outlineLevel="0" collapsed="false">
      <c r="B16" s="1" t="s">
        <v>66</v>
      </c>
      <c r="F16" s="11" t="n">
        <f aca="false">SUM(F8:F15)</f>
        <v>40</v>
      </c>
    </row>
    <row r="17" customFormat="false" ht="15" hidden="false" customHeight="false" outlineLevel="0" collapsed="false">
      <c r="B17" s="9" t="s">
        <v>67</v>
      </c>
      <c r="C17" s="9" t="s">
        <v>54</v>
      </c>
      <c r="D17" s="9" t="s">
        <v>55</v>
      </c>
      <c r="E17" s="9" t="s">
        <v>56</v>
      </c>
      <c r="F17" s="9" t="s">
        <v>57</v>
      </c>
    </row>
    <row r="18" customFormat="false" ht="15" hidden="false" customHeight="false" outlineLevel="0" collapsed="false">
      <c r="B18" s="0" t="s">
        <v>68</v>
      </c>
      <c r="C18" s="10" t="n">
        <v>3.5</v>
      </c>
      <c r="D18" s="11" t="s">
        <v>69</v>
      </c>
      <c r="E18" s="10" t="n">
        <v>2</v>
      </c>
      <c r="F18" s="11" t="n">
        <f aca="false">E18*C18</f>
        <v>7</v>
      </c>
    </row>
    <row r="19" customFormat="false" ht="15" hidden="false" customHeight="false" outlineLevel="0" collapsed="false">
      <c r="B19" s="0" t="s">
        <v>70</v>
      </c>
      <c r="D19" s="0" t="s">
        <v>69</v>
      </c>
      <c r="F19" s="0" t="n">
        <f aca="false">E19*C19</f>
        <v>0</v>
      </c>
    </row>
    <row r="20" customFormat="false" ht="15" hidden="false" customHeight="false" outlineLevel="0" collapsed="false">
      <c r="B20" s="0" t="s">
        <v>68</v>
      </c>
      <c r="D20" s="0" t="s">
        <v>71</v>
      </c>
      <c r="F20" s="0" t="n">
        <f aca="false">E20*C20</f>
        <v>0</v>
      </c>
    </row>
    <row r="21" customFormat="false" ht="15" hidden="false" customHeight="false" outlineLevel="0" collapsed="false">
      <c r="B21" s="0" t="s">
        <v>70</v>
      </c>
      <c r="C21" s="10" t="n">
        <v>4</v>
      </c>
      <c r="D21" s="11" t="s">
        <v>71</v>
      </c>
      <c r="F21" s="11" t="n">
        <f aca="false">E21*C21</f>
        <v>0</v>
      </c>
    </row>
    <row r="22" customFormat="false" ht="15" hidden="false" customHeight="false" outlineLevel="0" collapsed="false">
      <c r="B22" s="0" t="s">
        <v>68</v>
      </c>
      <c r="D22" s="0" t="s">
        <v>72</v>
      </c>
      <c r="F22" s="0" t="n">
        <f aca="false">E22*C22</f>
        <v>0</v>
      </c>
    </row>
    <row r="23" customFormat="false" ht="15" hidden="false" customHeight="false" outlineLevel="0" collapsed="false">
      <c r="B23" s="0" t="s">
        <v>70</v>
      </c>
      <c r="C23" s="10" t="n">
        <v>6</v>
      </c>
      <c r="D23" s="11" t="s">
        <v>72</v>
      </c>
      <c r="F23" s="11" t="n">
        <f aca="false">E23*C23</f>
        <v>0</v>
      </c>
    </row>
    <row r="24" customFormat="false" ht="15" hidden="false" customHeight="false" outlineLevel="0" collapsed="false">
      <c r="F24" s="0" t="n">
        <f aca="false">E24*C24</f>
        <v>0</v>
      </c>
    </row>
    <row r="25" customFormat="false" ht="15" hidden="false" customHeight="false" outlineLevel="0" collapsed="false">
      <c r="B25" s="1" t="s">
        <v>73</v>
      </c>
      <c r="E25" s="11" t="n">
        <f aca="false">SUM(E18:E23)</f>
        <v>2</v>
      </c>
      <c r="F25" s="11" t="n">
        <f aca="false">SUM(F18:F24)</f>
        <v>7</v>
      </c>
    </row>
    <row r="26" customFormat="false" ht="15" hidden="false" customHeight="false" outlineLevel="0" collapsed="false">
      <c r="B26" s="9" t="s">
        <v>74</v>
      </c>
      <c r="C26" s="9" t="s">
        <v>54</v>
      </c>
      <c r="D26" s="9" t="s">
        <v>75</v>
      </c>
      <c r="E26" s="9" t="s">
        <v>56</v>
      </c>
    </row>
    <row r="27" customFormat="false" ht="15" hidden="false" customHeight="false" outlineLevel="0" collapsed="false">
      <c r="B27" s="0" t="s">
        <v>68</v>
      </c>
      <c r="C27" s="10" t="n">
        <v>3.5</v>
      </c>
      <c r="E27" s="10" t="n">
        <v>2</v>
      </c>
      <c r="F27" s="11" t="n">
        <f aca="false">E27*C27</f>
        <v>7</v>
      </c>
    </row>
    <row r="28" customFormat="false" ht="15" hidden="false" customHeight="false" outlineLevel="0" collapsed="false">
      <c r="B28" s="0" t="s">
        <v>70</v>
      </c>
      <c r="C28" s="10" t="n">
        <v>4</v>
      </c>
      <c r="E28" s="10" t="n">
        <v>0</v>
      </c>
      <c r="F28" s="11" t="n">
        <f aca="false">E28*C28</f>
        <v>0</v>
      </c>
    </row>
    <row r="29" customFormat="false" ht="15" hidden="false" customHeight="false" outlineLevel="0" collapsed="false">
      <c r="B29" s="1" t="s">
        <v>76</v>
      </c>
      <c r="E29" s="11" t="n">
        <f aca="false">SUM(E27:E28)</f>
        <v>2</v>
      </c>
      <c r="F29" s="11" t="n">
        <f aca="false">SUM(F27:F28)</f>
        <v>7</v>
      </c>
    </row>
    <row r="30" customFormat="false" ht="15" hidden="false" customHeight="false" outlineLevel="0" collapsed="false">
      <c r="B30" s="1" t="s">
        <v>77</v>
      </c>
      <c r="F30" s="11" t="n">
        <f aca="false">F25+F29</f>
        <v>14</v>
      </c>
    </row>
    <row r="33" customFormat="false" ht="15" hidden="false" customHeight="false" outlineLevel="0" collapsed="false">
      <c r="B33" s="1" t="s">
        <v>78</v>
      </c>
      <c r="G33" s="1" t="s">
        <v>79</v>
      </c>
    </row>
    <row r="34" customFormat="false" ht="15" hidden="false" customHeight="false" outlineLevel="0" collapsed="false">
      <c r="B34" s="0" t="s">
        <v>80</v>
      </c>
      <c r="C34" s="0" t="n">
        <v>50</v>
      </c>
      <c r="G34" s="5" t="s">
        <v>81</v>
      </c>
    </row>
    <row r="35" customFormat="false" ht="15" hidden="false" customHeight="false" outlineLevel="0" collapsed="false">
      <c r="B35" s="0" t="s">
        <v>82</v>
      </c>
      <c r="C35" s="10" t="n">
        <f aca="false">192</f>
        <v>192</v>
      </c>
      <c r="G35" s="5" t="s">
        <v>83</v>
      </c>
    </row>
    <row r="36" customFormat="false" ht="15" hidden="false" customHeight="false" outlineLevel="0" collapsed="false">
      <c r="B36" s="0" t="s">
        <v>84</v>
      </c>
      <c r="C36" s="10" t="n">
        <v>20</v>
      </c>
    </row>
    <row r="37" customFormat="false" ht="15" hidden="false" customHeight="false" outlineLevel="0" collapsed="false">
      <c r="B37" s="0" t="s">
        <v>85</v>
      </c>
      <c r="C37" s="0" t="n">
        <f aca="false">C53/50</f>
        <v>0.9</v>
      </c>
    </row>
    <row r="38" customFormat="false" ht="15" hidden="false" customHeight="false" outlineLevel="0" collapsed="false">
      <c r="B38" s="0" t="s">
        <v>86</v>
      </c>
      <c r="C38" s="0" t="n">
        <f aca="false">C54/50</f>
        <v>2.2</v>
      </c>
    </row>
    <row r="40" customFormat="false" ht="15" hidden="false" customHeight="false" outlineLevel="0" collapsed="false">
      <c r="B40" s="9" t="s">
        <v>87</v>
      </c>
      <c r="C40" s="9" t="s">
        <v>88</v>
      </c>
      <c r="D40" s="9" t="s">
        <v>89</v>
      </c>
      <c r="E40" s="9" t="s">
        <v>90</v>
      </c>
      <c r="G40" s="1" t="s">
        <v>91</v>
      </c>
    </row>
    <row r="41" customFormat="false" ht="15" hidden="false" customHeight="false" outlineLevel="0" collapsed="false">
      <c r="B41" s="0" t="s">
        <v>92</v>
      </c>
      <c r="C41" s="10" t="n">
        <v>290</v>
      </c>
      <c r="D41" s="10" t="n">
        <v>4</v>
      </c>
      <c r="E41" s="11" t="n">
        <f aca="false">(C41*D41)/C35</f>
        <v>6.04166666666667</v>
      </c>
      <c r="G41" s="5" t="s">
        <v>93</v>
      </c>
    </row>
    <row r="42" customFormat="false" ht="15" hidden="false" customHeight="false" outlineLevel="0" collapsed="false">
      <c r="B42" s="0" t="s">
        <v>94</v>
      </c>
      <c r="C42" s="10" t="n">
        <v>550</v>
      </c>
      <c r="D42" s="10" t="n">
        <v>4</v>
      </c>
      <c r="E42" s="11" t="n">
        <f aca="false">(C42*D42)/C35</f>
        <v>11.4583333333333</v>
      </c>
    </row>
    <row r="43" customFormat="false" ht="15" hidden="false" customHeight="false" outlineLevel="0" collapsed="false">
      <c r="B43" s="0" t="s">
        <v>95</v>
      </c>
      <c r="C43" s="10" t="n">
        <v>150</v>
      </c>
      <c r="D43" s="10" t="n">
        <v>1</v>
      </c>
      <c r="E43" s="11" t="n">
        <f aca="false">(C43*D43)/C35</f>
        <v>0.78125</v>
      </c>
    </row>
    <row r="44" customFormat="false" ht="15" hidden="false" customHeight="false" outlineLevel="0" collapsed="false">
      <c r="B44" s="0" t="s">
        <v>96</v>
      </c>
    </row>
    <row r="45" customFormat="false" ht="15" hidden="false" customHeight="false" outlineLevel="0" collapsed="false">
      <c r="B45" s="0" t="s">
        <v>97</v>
      </c>
    </row>
    <row r="46" customFormat="false" ht="15" hidden="false" customHeight="false" outlineLevel="0" collapsed="false">
      <c r="B46" s="1" t="s">
        <v>98</v>
      </c>
      <c r="E46" s="11" t="n">
        <f aca="false">E41+E43</f>
        <v>6.82291666666667</v>
      </c>
    </row>
    <row r="48" customFormat="false" ht="15" hidden="false" customHeight="false" outlineLevel="0" collapsed="false">
      <c r="B48" s="9" t="s">
        <v>99</v>
      </c>
      <c r="C48" s="9" t="s">
        <v>88</v>
      </c>
      <c r="D48" s="9" t="s">
        <v>89</v>
      </c>
      <c r="E48" s="9" t="s">
        <v>90</v>
      </c>
    </row>
    <row r="49" customFormat="false" ht="15" hidden="false" customHeight="false" outlineLevel="0" collapsed="false">
      <c r="B49" s="0" t="s">
        <v>100</v>
      </c>
      <c r="C49" s="10" t="n">
        <v>75</v>
      </c>
      <c r="D49" s="10" t="n">
        <v>2</v>
      </c>
      <c r="E49" s="11" t="n">
        <f aca="false">(C49*D49)/C35</f>
        <v>0.78125</v>
      </c>
    </row>
    <row r="50" customFormat="false" ht="15" hidden="false" customHeight="false" outlineLevel="0" collapsed="false">
      <c r="B50" s="0" t="s">
        <v>101</v>
      </c>
      <c r="C50" s="10" t="n">
        <v>60</v>
      </c>
      <c r="D50" s="10" t="n">
        <v>2</v>
      </c>
      <c r="E50" s="11" t="n">
        <f aca="false">(C50*D50)/C35</f>
        <v>0.625</v>
      </c>
    </row>
    <row r="52" customFormat="false" ht="15" hidden="false" customHeight="false" outlineLevel="0" collapsed="false">
      <c r="B52" s="9" t="s">
        <v>102</v>
      </c>
      <c r="C52" s="9" t="s">
        <v>103</v>
      </c>
      <c r="D52" s="9" t="s">
        <v>104</v>
      </c>
      <c r="E52" s="9" t="s">
        <v>90</v>
      </c>
      <c r="G52" s="1" t="s">
        <v>105</v>
      </c>
    </row>
    <row r="53" customFormat="false" ht="15" hidden="false" customHeight="false" outlineLevel="0" collapsed="false">
      <c r="B53" s="0" t="s">
        <v>106</v>
      </c>
      <c r="C53" s="10" t="n">
        <v>45</v>
      </c>
      <c r="D53" s="0" t="n">
        <v>5</v>
      </c>
      <c r="E53" s="11" t="n">
        <f aca="false">C37*C36</f>
        <v>18</v>
      </c>
      <c r="G53" s="5" t="s">
        <v>107</v>
      </c>
    </row>
    <row r="54" customFormat="false" ht="15" hidden="false" customHeight="false" outlineLevel="0" collapsed="false">
      <c r="B54" s="0" t="s">
        <v>108</v>
      </c>
      <c r="C54" s="10" t="n">
        <v>110</v>
      </c>
      <c r="D54" s="0" t="n">
        <v>5</v>
      </c>
      <c r="E54" s="11" t="n">
        <f aca="false">C38*C36</f>
        <v>44</v>
      </c>
    </row>
    <row r="56" customFormat="false" ht="15" hidden="false" customHeight="false" outlineLevel="0" collapsed="false">
      <c r="B56" s="12" t="s">
        <v>109</v>
      </c>
      <c r="C56" s="12" t="n">
        <f aca="false">F16+F30+E46+E49+E53</f>
        <v>79.6041666666667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7" min="6" style="0" width="18"/>
  </cols>
  <sheetData>
    <row r="1" customFormat="false" ht="17.35" hidden="false" customHeight="false" outlineLevel="0" collapsed="false">
      <c r="A1" s="4" t="s">
        <v>110</v>
      </c>
    </row>
    <row r="3" customFormat="false" ht="15" hidden="false" customHeight="false" outlineLevel="0" collapsed="false">
      <c r="A3" s="0" t="s">
        <v>111</v>
      </c>
      <c r="B3" s="10" t="n">
        <v>16</v>
      </c>
    </row>
    <row r="5" customFormat="false" ht="15" hidden="false" customHeight="false" outlineLevel="0" collapsed="false">
      <c r="A5" s="1" t="s">
        <v>112</v>
      </c>
      <c r="F5" s="1" t="s">
        <v>113</v>
      </c>
    </row>
    <row r="6" customFormat="false" ht="15" hidden="false" customHeight="false" outlineLevel="0" collapsed="false">
      <c r="A6" s="9" t="s">
        <v>114</v>
      </c>
      <c r="B6" s="9" t="s">
        <v>115</v>
      </c>
      <c r="F6" s="9" t="s">
        <v>116</v>
      </c>
      <c r="G6" s="9" t="s">
        <v>117</v>
      </c>
    </row>
    <row r="7" customFormat="false" ht="15" hidden="false" customHeight="false" outlineLevel="0" collapsed="false">
      <c r="A7" s="0" t="s">
        <v>118</v>
      </c>
      <c r="B7" s="10" t="n">
        <v>21.9</v>
      </c>
      <c r="F7" s="11" t="s">
        <v>119</v>
      </c>
      <c r="G7" s="10" t="n">
        <v>0</v>
      </c>
    </row>
    <row r="8" customFormat="false" ht="15" hidden="false" customHeight="false" outlineLevel="0" collapsed="false">
      <c r="A8" s="0" t="s">
        <v>120</v>
      </c>
      <c r="B8" s="10" t="n">
        <v>0</v>
      </c>
      <c r="F8" s="11" t="s">
        <v>121</v>
      </c>
      <c r="G8" s="10" t="n">
        <v>250</v>
      </c>
    </row>
    <row r="9" customFormat="false" ht="15" hidden="false" customHeight="false" outlineLevel="0" collapsed="false">
      <c r="A9" s="0" t="s">
        <v>122</v>
      </c>
      <c r="B9" s="10" t="n">
        <v>56</v>
      </c>
      <c r="F9" s="11" t="s">
        <v>123</v>
      </c>
      <c r="G9" s="11" t="n">
        <f aca="false">SUM(G7:G8)</f>
        <v>250</v>
      </c>
    </row>
    <row r="10" customFormat="false" ht="15" hidden="false" customHeight="false" outlineLevel="0" collapsed="false">
      <c r="A10" s="0" t="s">
        <v>124</v>
      </c>
      <c r="B10" s="10" t="n">
        <v>45</v>
      </c>
      <c r="F10" s="11" t="s">
        <v>125</v>
      </c>
      <c r="G10" s="11" t="n">
        <f aca="false">G9/B3</f>
        <v>15.625</v>
      </c>
    </row>
    <row r="11" customFormat="false" ht="15" hidden="false" customHeight="false" outlineLevel="0" collapsed="false">
      <c r="A11" s="0" t="s">
        <v>126</v>
      </c>
      <c r="B11" s="10" t="n">
        <v>100</v>
      </c>
    </row>
    <row r="12" customFormat="false" ht="15" hidden="false" customHeight="false" outlineLevel="0" collapsed="false">
      <c r="A12" s="0" t="s">
        <v>127</v>
      </c>
      <c r="B12" s="10" t="n">
        <v>35</v>
      </c>
    </row>
    <row r="14" customFormat="false" ht="15" hidden="false" customHeight="false" outlineLevel="0" collapsed="false">
      <c r="A14" s="1" t="s">
        <v>123</v>
      </c>
      <c r="B14" s="11" t="n">
        <f aca="false">SUM(B7:B12)</f>
        <v>257.9</v>
      </c>
    </row>
    <row r="15" customFormat="false" ht="15" hidden="false" customHeight="false" outlineLevel="0" collapsed="false">
      <c r="A15" s="1" t="s">
        <v>125</v>
      </c>
      <c r="B15" s="11" t="n">
        <f aca="false">B14/B3</f>
        <v>16.11875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15"/>
  </cols>
  <sheetData>
    <row r="1" customFormat="false" ht="19.7" hidden="false" customHeight="false" outlineLevel="0" collapsed="false">
      <c r="B1" s="13" t="s">
        <v>128</v>
      </c>
      <c r="C1" s="13"/>
      <c r="D1" s="13"/>
      <c r="E1" s="13"/>
      <c r="F1" s="13"/>
      <c r="G1" s="13"/>
      <c r="H1" s="13"/>
      <c r="I1" s="13"/>
      <c r="J1" s="13"/>
    </row>
    <row r="2" customFormat="false" ht="15" hidden="false" customHeight="false" outlineLevel="0" collapsed="false">
      <c r="B2" s="14" t="s">
        <v>129</v>
      </c>
      <c r="C2" s="14"/>
      <c r="D2" s="14"/>
      <c r="E2" s="14"/>
      <c r="F2" s="14"/>
      <c r="G2" s="14"/>
      <c r="H2" s="14"/>
      <c r="I2" s="14"/>
      <c r="J2" s="14"/>
    </row>
    <row r="3" customFormat="false" ht="15" hidden="false" customHeight="false" outlineLevel="0" collapsed="false">
      <c r="C3" s="5" t="s">
        <v>130</v>
      </c>
    </row>
    <row r="5" customFormat="false" ht="15" hidden="false" customHeight="false" outlineLevel="0" collapsed="false">
      <c r="C5" s="15" t="s">
        <v>131</v>
      </c>
      <c r="D5" s="15"/>
      <c r="E5" s="15"/>
      <c r="F5" s="15"/>
      <c r="G5" s="15"/>
      <c r="H5" s="15"/>
    </row>
    <row r="7" customFormat="false" ht="15" hidden="false" customHeight="false" outlineLevel="0" collapsed="false">
      <c r="B7" s="9" t="s">
        <v>132</v>
      </c>
      <c r="C7" s="9" t="s">
        <v>133</v>
      </c>
      <c r="D7" s="9" t="s">
        <v>134</v>
      </c>
      <c r="E7" s="9" t="s">
        <v>135</v>
      </c>
      <c r="G7" s="16" t="s">
        <v>136</v>
      </c>
      <c r="H7" s="16"/>
      <c r="I7" s="11" t="s">
        <v>137</v>
      </c>
    </row>
    <row r="8" customFormat="false" ht="15" hidden="false" customHeight="false" outlineLevel="0" collapsed="false">
      <c r="B8" s="0" t="s">
        <v>138</v>
      </c>
      <c r="C8" s="10" t="n">
        <v>5</v>
      </c>
      <c r="D8" s="10" t="n">
        <v>200</v>
      </c>
      <c r="E8" s="11" t="n">
        <f aca="false">C8*D8</f>
        <v>1000</v>
      </c>
      <c r="G8" s="11" t="s">
        <v>139</v>
      </c>
      <c r="H8" s="10" t="n">
        <v>0.098</v>
      </c>
      <c r="I8" s="17" t="n">
        <f aca="false">D55</f>
        <v>1956.66182170543</v>
      </c>
    </row>
    <row r="9" customFormat="false" ht="15" hidden="false" customHeight="false" outlineLevel="0" collapsed="false">
      <c r="B9" s="0" t="s">
        <v>140</v>
      </c>
      <c r="C9" s="0" t="n">
        <v>1</v>
      </c>
      <c r="E9" s="0" t="n">
        <f aca="false">Material!C56</f>
        <v>79.6041666666667</v>
      </c>
      <c r="G9" s="0" t="s">
        <v>141</v>
      </c>
      <c r="H9" s="10" t="n">
        <v>0.111</v>
      </c>
      <c r="I9" s="17" t="n">
        <f aca="false">E55</f>
        <v>1999.84790605546</v>
      </c>
    </row>
    <row r="10" customFormat="false" ht="15" hidden="false" customHeight="false" outlineLevel="0" collapsed="false">
      <c r="B10" s="0" t="s">
        <v>142</v>
      </c>
      <c r="C10" s="0" t="n">
        <v>1</v>
      </c>
      <c r="E10" s="0" t="n">
        <f aca="false">'Apps Pagos &amp; Tráfego'!B15</f>
        <v>16.11875</v>
      </c>
      <c r="G10" s="0" t="s">
        <v>143</v>
      </c>
      <c r="H10" s="10" t="n">
        <v>0.125</v>
      </c>
      <c r="I10" s="17" t="n">
        <f aca="false">F55</f>
        <v>2048.53985507246</v>
      </c>
    </row>
    <row r="11" customFormat="false" ht="15" hidden="false" customHeight="false" outlineLevel="0" collapsed="false">
      <c r="B11" s="0" t="s">
        <v>144</v>
      </c>
      <c r="C11" s="0" t="n">
        <v>1</v>
      </c>
      <c r="E11" s="0" t="n">
        <f aca="false">'Apps Pagos &amp; Tráfego'!G10</f>
        <v>15.625</v>
      </c>
      <c r="G11" s="0" t="s">
        <v>145</v>
      </c>
      <c r="H11" s="10" t="n">
        <v>0.138</v>
      </c>
      <c r="I11" s="17" t="n">
        <f aca="false">G55</f>
        <v>2095.92600830368</v>
      </c>
    </row>
    <row r="12" customFormat="false" ht="15" hidden="false" customHeight="false" outlineLevel="0" collapsed="false">
      <c r="B12" s="0" t="s">
        <v>146</v>
      </c>
      <c r="C12" s="10" t="n">
        <v>0</v>
      </c>
      <c r="D12" s="10" t="n">
        <v>120</v>
      </c>
      <c r="E12" s="11" t="n">
        <f aca="false">D12*C12</f>
        <v>0</v>
      </c>
      <c r="G12" s="11" t="s">
        <v>147</v>
      </c>
      <c r="H12" s="10" t="n">
        <v>0.151</v>
      </c>
      <c r="I12" s="17" t="n">
        <f aca="false">H55</f>
        <v>2145.55631451123</v>
      </c>
    </row>
    <row r="13" customFormat="false" ht="15" hidden="false" customHeight="false" outlineLevel="0" collapsed="false">
      <c r="B13" s="0" t="s">
        <v>148</v>
      </c>
      <c r="C13" s="0" t="n">
        <v>1</v>
      </c>
      <c r="D13" s="17" t="n">
        <f aca="false">Depreciação!B24</f>
        <v>6.5625</v>
      </c>
      <c r="E13" s="17" t="n">
        <f aca="false">D13*C13</f>
        <v>6.5625</v>
      </c>
      <c r="G13" s="11" t="s">
        <v>149</v>
      </c>
      <c r="H13" s="10" t="n">
        <v>0.164</v>
      </c>
      <c r="I13" s="17" t="n">
        <f aca="false">I55</f>
        <v>2197.59406094527</v>
      </c>
    </row>
    <row r="14" customFormat="false" ht="15" hidden="false" customHeight="false" outlineLevel="0" collapsed="false">
      <c r="B14" s="0" t="s">
        <v>150</v>
      </c>
      <c r="C14" s="0" t="n">
        <v>1</v>
      </c>
      <c r="D14" s="10" t="n">
        <v>60</v>
      </c>
      <c r="E14" s="11" t="n">
        <f aca="false">D14*C14</f>
        <v>60</v>
      </c>
      <c r="G14" s="11" t="s">
        <v>151</v>
      </c>
      <c r="H14" s="10" t="n">
        <v>0.177</v>
      </c>
      <c r="I14" s="17" t="n">
        <f aca="false">J55</f>
        <v>2252.21876991715</v>
      </c>
    </row>
    <row r="15" customFormat="false" ht="15" hidden="false" customHeight="false" outlineLevel="0" collapsed="false">
      <c r="D15" s="18" t="s">
        <v>123</v>
      </c>
      <c r="E15" s="19" t="n">
        <f aca="false">SUM(E8:E14)</f>
        <v>1177.91041666667</v>
      </c>
      <c r="G15" s="11" t="s">
        <v>152</v>
      </c>
      <c r="H15" s="10" t="n">
        <v>0.19</v>
      </c>
      <c r="I15" s="17" t="n">
        <f aca="false">K55</f>
        <v>2309.62826797386</v>
      </c>
    </row>
    <row r="16" customFormat="false" ht="15" hidden="true" customHeight="false" outlineLevel="0" collapsed="false">
      <c r="D16" s="18"/>
      <c r="E16" s="18"/>
      <c r="G16" s="11" t="s">
        <v>152</v>
      </c>
      <c r="H16" s="0" t="n">
        <v>0.201</v>
      </c>
    </row>
    <row r="17" customFormat="false" ht="15" hidden="false" customHeight="false" outlineLevel="0" collapsed="false">
      <c r="D17" s="1" t="s">
        <v>153</v>
      </c>
      <c r="E17" s="11" t="n">
        <f aca="false">E15+E16</f>
        <v>1177.91041666667</v>
      </c>
      <c r="G17" s="11" t="s">
        <v>154</v>
      </c>
      <c r="H17" s="10" t="n">
        <v>0.21</v>
      </c>
      <c r="I17" s="17" t="n">
        <f aca="false">L55</f>
        <v>2403.89880952381</v>
      </c>
    </row>
    <row r="18" customFormat="false" ht="15" hidden="false" customHeight="false" outlineLevel="0" collapsed="false">
      <c r="D18" s="1" t="s">
        <v>155</v>
      </c>
      <c r="E18" s="20" t="n">
        <f aca="false">C37</f>
        <v>1682.72916666667</v>
      </c>
      <c r="G18" s="5" t="s">
        <v>156</v>
      </c>
    </row>
    <row r="19" customFormat="false" ht="15" hidden="false" customHeight="false" outlineLevel="0" collapsed="false">
      <c r="D19" s="1" t="s">
        <v>157</v>
      </c>
      <c r="E19" s="20" t="n">
        <f aca="false">L55</f>
        <v>2403.89880952381</v>
      </c>
    </row>
    <row r="20" customFormat="false" ht="15" hidden="false" customHeight="false" outlineLevel="0" collapsed="false">
      <c r="D20" s="0" t="s">
        <v>158</v>
      </c>
      <c r="E20" s="17" t="n">
        <f aca="false">E18-(E18*(0.3))</f>
        <v>1177.91041666667</v>
      </c>
      <c r="G20" s="5" t="s">
        <v>159</v>
      </c>
    </row>
    <row r="21" customFormat="false" ht="15" hidden="false" customHeight="false" outlineLevel="0" collapsed="false">
      <c r="G21" s="5" t="s">
        <v>160</v>
      </c>
    </row>
    <row r="22" customFormat="false" ht="15" hidden="false" customHeight="false" outlineLevel="0" collapsed="false">
      <c r="B22" s="5" t="s">
        <v>161</v>
      </c>
    </row>
    <row r="28" customFormat="false" ht="15" hidden="true" customHeight="false" outlineLevel="0" collapsed="false">
      <c r="B28" s="0" t="s">
        <v>162</v>
      </c>
    </row>
    <row r="29" customFormat="false" ht="15" hidden="true" customHeight="false" outlineLevel="0" collapsed="false">
      <c r="B29" s="0" t="s">
        <v>163</v>
      </c>
    </row>
    <row r="30" customFormat="false" ht="15" hidden="true" customHeight="false" outlineLevel="0" collapsed="false">
      <c r="B30" s="0" t="s">
        <v>164</v>
      </c>
    </row>
    <row r="31" customFormat="false" ht="15" hidden="true" customHeight="false" outlineLevel="0" collapsed="false"/>
    <row r="32" customFormat="false" ht="15" hidden="true" customHeight="false" outlineLevel="0" collapsed="false">
      <c r="B32" s="18" t="s">
        <v>165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</row>
    <row r="33" customFormat="false" ht="15" hidden="true" customHeight="false" outlineLevel="0" collapsed="false">
      <c r="C33" s="0" t="s">
        <v>166</v>
      </c>
      <c r="D33" s="0" t="s">
        <v>139</v>
      </c>
      <c r="E33" s="0" t="s">
        <v>141</v>
      </c>
      <c r="F33" s="0" t="s">
        <v>143</v>
      </c>
      <c r="G33" s="0" t="s">
        <v>145</v>
      </c>
      <c r="H33" s="0" t="s">
        <v>147</v>
      </c>
      <c r="I33" s="0" t="s">
        <v>149</v>
      </c>
      <c r="J33" s="0" t="s">
        <v>151</v>
      </c>
      <c r="K33" s="0" t="s">
        <v>152</v>
      </c>
      <c r="L33" s="0" t="s">
        <v>154</v>
      </c>
    </row>
    <row r="34" customFormat="false" ht="41.75" hidden="true" customHeight="false" outlineLevel="0" collapsed="false">
      <c r="B34" s="0" t="s">
        <v>167</v>
      </c>
      <c r="C34" s="21" t="s">
        <v>168</v>
      </c>
      <c r="D34" s="0" t="s">
        <v>169</v>
      </c>
      <c r="E34" s="0" t="s">
        <v>170</v>
      </c>
      <c r="F34" s="0" t="s">
        <v>171</v>
      </c>
      <c r="G34" s="0" t="s">
        <v>172</v>
      </c>
      <c r="H34" s="0" t="s">
        <v>173</v>
      </c>
      <c r="I34" s="0" t="s">
        <v>174</v>
      </c>
      <c r="J34" s="0" t="s">
        <v>175</v>
      </c>
      <c r="K34" s="0" t="s">
        <v>176</v>
      </c>
      <c r="L34" s="0" t="s">
        <v>177</v>
      </c>
    </row>
    <row r="35" customFormat="false" ht="15" hidden="true" customHeight="false" outlineLevel="0" collapsed="false"/>
    <row r="36" customFormat="false" ht="15" hidden="true" customHeight="false" outlineLevel="0" collapsed="false">
      <c r="C36" s="0" t="s">
        <v>178</v>
      </c>
      <c r="D36" s="22" t="n">
        <f aca="false">1-(Tabela_Preço!D8)</f>
        <v>0.7</v>
      </c>
      <c r="E36" s="22" t="n">
        <f aca="false">1-(Tabela_Preço!D8)</f>
        <v>0.7</v>
      </c>
      <c r="F36" s="22" t="n">
        <f aca="false">1-(Tabela_Preço!D8)</f>
        <v>0.7</v>
      </c>
      <c r="G36" s="22" t="n">
        <f aca="false">1-(Tabela_Preço!D8)</f>
        <v>0.7</v>
      </c>
      <c r="H36" s="22" t="n">
        <f aca="false">1-(Tabela_Preço!D8)</f>
        <v>0.7</v>
      </c>
      <c r="I36" s="22" t="n">
        <f aca="false">1-(Tabela_Preço!D8)</f>
        <v>0.7</v>
      </c>
      <c r="J36" s="22" t="n">
        <f aca="false">1-(Tabela_Preço!D8)</f>
        <v>0.7</v>
      </c>
      <c r="K36" s="22" t="n">
        <f aca="false">1-(Tabela_Preço!D8)</f>
        <v>0.7</v>
      </c>
      <c r="L36" s="22" t="n">
        <f aca="false">1-(Tabela_Preço!D8)</f>
        <v>0.7</v>
      </c>
    </row>
    <row r="37" customFormat="false" ht="15" hidden="true" customHeight="false" outlineLevel="0" collapsed="false">
      <c r="B37" s="0" t="s">
        <v>179</v>
      </c>
      <c r="C37" s="17" t="n">
        <f aca="false">J40</f>
        <v>1682.72916666667</v>
      </c>
      <c r="D37" s="17" t="n">
        <f aca="false">C39/D36</f>
        <v>1682.72916666667</v>
      </c>
      <c r="E37" s="17" t="n">
        <f aca="false">C39/E36</f>
        <v>1682.72916666667</v>
      </c>
      <c r="F37" s="17" t="n">
        <f aca="false">C39/F36</f>
        <v>1682.72916666667</v>
      </c>
      <c r="G37" s="17" t="n">
        <f aca="false">C39/G36</f>
        <v>1682.72916666667</v>
      </c>
      <c r="H37" s="17" t="n">
        <f aca="false">C39/H36</f>
        <v>1682.72916666667</v>
      </c>
      <c r="I37" s="17" t="n">
        <f aca="false">C39/I36</f>
        <v>1682.72916666667</v>
      </c>
      <c r="J37" s="17" t="n">
        <f aca="false">C39/J36</f>
        <v>1682.72916666667</v>
      </c>
      <c r="K37" s="17" t="n">
        <f aca="false">C39/K36</f>
        <v>1682.72916666667</v>
      </c>
      <c r="L37" s="17" t="n">
        <f aca="false">C39/L36</f>
        <v>1682.72916666667</v>
      </c>
    </row>
    <row r="38" customFormat="false" ht="15" hidden="true" customHeight="false" outlineLevel="0" collapsed="false">
      <c r="B38" s="0" t="s">
        <v>180</v>
      </c>
      <c r="C38" s="0" t="s">
        <v>181</v>
      </c>
      <c r="D38" s="0" t="n">
        <v>0.098</v>
      </c>
      <c r="E38" s="0" t="n">
        <v>0.111</v>
      </c>
      <c r="F38" s="0" t="n">
        <v>0.125</v>
      </c>
      <c r="G38" s="0" t="n">
        <v>0.138</v>
      </c>
      <c r="H38" s="0" t="n">
        <v>0.151</v>
      </c>
      <c r="I38" s="0" t="n">
        <v>0.164</v>
      </c>
      <c r="J38" s="0" t="n">
        <v>0.177</v>
      </c>
      <c r="K38" s="0" t="n">
        <v>0.19</v>
      </c>
      <c r="L38" s="0" t="n">
        <v>0.201</v>
      </c>
    </row>
    <row r="39" customFormat="false" ht="15" hidden="true" customHeight="false" outlineLevel="0" collapsed="false">
      <c r="B39" s="0" t="s">
        <v>182</v>
      </c>
      <c r="C39" s="17" t="n">
        <f aca="false">E17</f>
        <v>1177.91041666667</v>
      </c>
    </row>
    <row r="40" customFormat="false" ht="15" hidden="true" customHeight="false" outlineLevel="0" collapsed="false">
      <c r="B40" s="0" t="s">
        <v>183</v>
      </c>
      <c r="C40" s="0" t="n">
        <v>0.3</v>
      </c>
      <c r="I40" s="0" t="s">
        <v>184</v>
      </c>
      <c r="J40" s="20" t="n">
        <f aca="false">C39/H36</f>
        <v>1682.72916666667</v>
      </c>
    </row>
    <row r="41" customFormat="false" ht="15" hidden="true" customHeight="false" outlineLevel="0" collapsed="false"/>
    <row r="42" customFormat="false" ht="15" hidden="true" customHeight="false" outlineLevel="0" collapsed="false">
      <c r="B42" s="0" t="s">
        <v>185</v>
      </c>
      <c r="C42" s="0" t="s">
        <v>186</v>
      </c>
    </row>
    <row r="43" customFormat="false" ht="15" hidden="true" customHeight="false" outlineLevel="0" collapsed="false">
      <c r="C43" s="0" t="s">
        <v>187</v>
      </c>
    </row>
    <row r="44" customFormat="false" ht="15" hidden="true" customHeight="false" outlineLevel="0" collapsed="false">
      <c r="D44" s="0" t="s">
        <v>188</v>
      </c>
      <c r="E44" s="0" t="s">
        <v>189</v>
      </c>
    </row>
    <row r="45" customFormat="false" ht="15" hidden="true" customHeight="false" outlineLevel="0" collapsed="false">
      <c r="E45" s="0" t="s">
        <v>190</v>
      </c>
    </row>
    <row r="46" customFormat="false" ht="15" hidden="true" customHeight="false" outlineLevel="0" collapsed="false"/>
    <row r="47" customFormat="false" ht="15" hidden="true" customHeight="false" outlineLevel="0" collapsed="false"/>
    <row r="48" customFormat="false" ht="15" hidden="true" customHeight="false" outlineLevel="0" collapsed="false"/>
    <row r="49" customFormat="false" ht="15" hidden="true" customHeight="false" outlineLevel="0" collapsed="false">
      <c r="B49" s="18" t="s">
        <v>191</v>
      </c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customFormat="false" ht="15" hidden="true" customHeight="false" outlineLevel="0" collapsed="false">
      <c r="C50" s="0" t="s">
        <v>166</v>
      </c>
      <c r="D50" s="0" t="s">
        <v>139</v>
      </c>
      <c r="E50" s="0" t="s">
        <v>141</v>
      </c>
      <c r="F50" s="0" t="s">
        <v>143</v>
      </c>
      <c r="G50" s="0" t="s">
        <v>145</v>
      </c>
      <c r="H50" s="0" t="s">
        <v>147</v>
      </c>
      <c r="I50" s="0" t="s">
        <v>149</v>
      </c>
      <c r="J50" s="0" t="s">
        <v>151</v>
      </c>
      <c r="K50" s="0" t="s">
        <v>152</v>
      </c>
      <c r="L50" s="0" t="s">
        <v>154</v>
      </c>
    </row>
    <row r="51" customFormat="false" ht="41.75" hidden="true" customHeight="false" outlineLevel="0" collapsed="false">
      <c r="B51" s="0" t="s">
        <v>167</v>
      </c>
      <c r="C51" s="21" t="s">
        <v>168</v>
      </c>
      <c r="D51" s="0" t="s">
        <v>169</v>
      </c>
      <c r="E51" s="0" t="s">
        <v>170</v>
      </c>
      <c r="F51" s="0" t="s">
        <v>171</v>
      </c>
      <c r="G51" s="0" t="s">
        <v>172</v>
      </c>
      <c r="H51" s="0" t="s">
        <v>173</v>
      </c>
      <c r="I51" s="0" t="s">
        <v>174</v>
      </c>
      <c r="J51" s="0" t="s">
        <v>175</v>
      </c>
      <c r="K51" s="0" t="s">
        <v>176</v>
      </c>
      <c r="L51" s="0" t="s">
        <v>177</v>
      </c>
    </row>
    <row r="52" customFormat="false" ht="15" hidden="true" customHeight="false" outlineLevel="0" collapsed="false"/>
    <row r="53" customFormat="false" ht="15" hidden="true" customHeight="false" outlineLevel="0" collapsed="false">
      <c r="C53" s="0" t="s">
        <v>178</v>
      </c>
      <c r="D53" s="22" t="n">
        <f aca="false">1-Tabela_Preço!D8-D56</f>
        <v>0.602</v>
      </c>
      <c r="E53" s="22" t="n">
        <f aca="false">1-Tabela_Preço!D8-E56</f>
        <v>0.589</v>
      </c>
      <c r="F53" s="22" t="n">
        <f aca="false">1-Tabela_Preço!D8-F56</f>
        <v>0.575</v>
      </c>
      <c r="G53" s="22" t="n">
        <f aca="false">1-Tabela_Preço!D8-G56</f>
        <v>0.562</v>
      </c>
      <c r="H53" s="22" t="n">
        <f aca="false">1-Tabela_Preço!D8-H56</f>
        <v>0.549</v>
      </c>
      <c r="I53" s="22" t="n">
        <f aca="false">1-Tabela_Preço!D8-I56</f>
        <v>0.536</v>
      </c>
      <c r="J53" s="22" t="n">
        <f aca="false">1-Tabela_Preço!D8-J56</f>
        <v>0.523</v>
      </c>
      <c r="K53" s="22" t="n">
        <f aca="false">1-Tabela_Preço!D8-K56</f>
        <v>0.51</v>
      </c>
      <c r="L53" s="22" t="n">
        <f aca="false">1-Tabela_Preço!D8-L56</f>
        <v>0.49</v>
      </c>
    </row>
    <row r="54" customFormat="false" ht="15" hidden="true" customHeight="false" outlineLevel="0" collapsed="false">
      <c r="C54" s="0" t="s">
        <v>192</v>
      </c>
      <c r="D54" s="0" t="s">
        <v>193</v>
      </c>
    </row>
    <row r="55" customFormat="false" ht="15" hidden="true" customHeight="false" outlineLevel="0" collapsed="false">
      <c r="B55" s="0" t="s">
        <v>179</v>
      </c>
      <c r="C55" s="17" t="n">
        <f aca="false">H55</f>
        <v>2145.55631451123</v>
      </c>
      <c r="D55" s="17" t="n">
        <f aca="false">$C$57/D53</f>
        <v>1956.66182170543</v>
      </c>
      <c r="E55" s="17" t="n">
        <f aca="false">$C$57/E53</f>
        <v>1999.84790605546</v>
      </c>
      <c r="F55" s="17" t="n">
        <f aca="false">$C$57/F53</f>
        <v>2048.53985507246</v>
      </c>
      <c r="G55" s="17" t="n">
        <f aca="false">$C$57/G53</f>
        <v>2095.92600830368</v>
      </c>
      <c r="H55" s="17" t="n">
        <f aca="false">$C$57/H53</f>
        <v>2145.55631451123</v>
      </c>
      <c r="I55" s="17" t="n">
        <f aca="false">$C$57/I53</f>
        <v>2197.59406094527</v>
      </c>
      <c r="J55" s="17" t="n">
        <f aca="false">$C$57/J53</f>
        <v>2252.21876991715</v>
      </c>
      <c r="K55" s="17" t="n">
        <f aca="false">$C$57/K53</f>
        <v>2309.62826797386</v>
      </c>
      <c r="L55" s="17" t="n">
        <f aca="false">$C$57/L53</f>
        <v>2403.89880952381</v>
      </c>
    </row>
    <row r="56" customFormat="false" ht="15" hidden="true" customHeight="false" outlineLevel="0" collapsed="false">
      <c r="B56" s="0" t="s">
        <v>180</v>
      </c>
      <c r="C56" s="0" t="s">
        <v>181</v>
      </c>
      <c r="D56" s="0" t="n">
        <f aca="false">H8</f>
        <v>0.098</v>
      </c>
      <c r="E56" s="0" t="n">
        <f aca="false">H9</f>
        <v>0.111</v>
      </c>
      <c r="F56" s="0" t="n">
        <f aca="false">H10</f>
        <v>0.125</v>
      </c>
      <c r="G56" s="0" t="n">
        <f aca="false">H11</f>
        <v>0.138</v>
      </c>
      <c r="H56" s="0" t="n">
        <f aca="false">H12</f>
        <v>0.151</v>
      </c>
      <c r="I56" s="0" t="n">
        <f aca="false">H13</f>
        <v>0.164</v>
      </c>
      <c r="J56" s="0" t="n">
        <f aca="false">H14</f>
        <v>0.177</v>
      </c>
      <c r="K56" s="0" t="n">
        <f aca="false">H15</f>
        <v>0.19</v>
      </c>
      <c r="L56" s="0" t="n">
        <f aca="false">H17</f>
        <v>0.21</v>
      </c>
    </row>
    <row r="57" customFormat="false" ht="15" hidden="true" customHeight="false" outlineLevel="0" collapsed="false">
      <c r="B57" s="0" t="s">
        <v>182</v>
      </c>
      <c r="C57" s="17" t="n">
        <f aca="false">E17</f>
        <v>1177.91041666667</v>
      </c>
    </row>
    <row r="58" customFormat="false" ht="15" hidden="true" customHeight="false" outlineLevel="0" collapsed="false">
      <c r="B58" s="0" t="s">
        <v>183</v>
      </c>
      <c r="C58" s="8" t="n">
        <f aca="false">Tabela_Preço!D8</f>
        <v>0.3</v>
      </c>
      <c r="D58" s="5" t="s">
        <v>194</v>
      </c>
    </row>
    <row r="59" customFormat="false" ht="15" hidden="true" customHeight="false" outlineLevel="0" collapsed="false"/>
    <row r="60" customFormat="false" ht="15" hidden="true" customHeight="false" outlineLevel="0" collapsed="false">
      <c r="B60" s="0" t="s">
        <v>185</v>
      </c>
      <c r="C60" s="0" t="s">
        <v>186</v>
      </c>
      <c r="I60" s="0" t="s">
        <v>184</v>
      </c>
      <c r="J60" s="20" t="n">
        <f aca="false">L55</f>
        <v>2403.89880952381</v>
      </c>
    </row>
    <row r="61" customFormat="false" ht="15" hidden="true" customHeight="false" outlineLevel="0" collapsed="false"/>
    <row r="62" customFormat="false" ht="15" hidden="true" customHeight="false" outlineLevel="0" collapsed="false"/>
    <row r="63" customFormat="false" ht="15" hidden="true" customHeight="false" outlineLevel="0" collapsed="false"/>
    <row r="64" customFormat="false" ht="15" hidden="true" customHeight="false" outlineLevel="0" collapsed="false"/>
    <row r="65" customFormat="false" ht="15" hidden="true" customHeight="false" outlineLevel="0" collapsed="false"/>
    <row r="66" customFormat="false" ht="15" hidden="true" customHeight="false" outlineLevel="0" collapsed="false"/>
  </sheetData>
  <mergeCells count="8">
    <mergeCell ref="B1:J1"/>
    <mergeCell ref="B2:J2"/>
    <mergeCell ref="C5:H5"/>
    <mergeCell ref="G7:H7"/>
    <mergeCell ref="D15:D16"/>
    <mergeCell ref="E15:E16"/>
    <mergeCell ref="B32:L32"/>
    <mergeCell ref="B49:L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5"/>
    <col collapsed="false" customWidth="true" hidden="false" outlineLevel="0" max="3" min="3" style="0" width="8"/>
  </cols>
  <sheetData>
    <row r="1" customFormat="false" ht="17.35" hidden="false" customHeight="false" outlineLevel="0" collapsed="false">
      <c r="A1" s="4" t="s">
        <v>195</v>
      </c>
    </row>
    <row r="2" customFormat="false" ht="15" hidden="false" customHeight="false" outlineLevel="0" collapsed="false">
      <c r="A2" s="23" t="s">
        <v>196</v>
      </c>
    </row>
    <row r="4" customFormat="false" ht="15" hidden="false" customHeight="false" outlineLevel="0" collapsed="false">
      <c r="A4" s="1" t="s">
        <v>197</v>
      </c>
    </row>
    <row r="5" customFormat="false" ht="15" hidden="false" customHeight="false" outlineLevel="0" collapsed="false">
      <c r="A5" s="0" t="s">
        <v>198</v>
      </c>
    </row>
    <row r="6" customFormat="false" ht="15" hidden="false" customHeight="false" outlineLevel="0" collapsed="false">
      <c r="A6" s="0" t="s">
        <v>199</v>
      </c>
      <c r="B6" s="10" t="n">
        <f aca="false">3500</f>
        <v>3500</v>
      </c>
    </row>
    <row r="7" customFormat="false" ht="15" hidden="false" customHeight="false" outlineLevel="0" collapsed="false">
      <c r="A7" s="0" t="s">
        <v>200</v>
      </c>
      <c r="B7" s="10" t="n">
        <v>500</v>
      </c>
    </row>
    <row r="8" customFormat="false" ht="15" hidden="false" customHeight="false" outlineLevel="0" collapsed="false">
      <c r="A8" s="0" t="s">
        <v>201</v>
      </c>
      <c r="B8" s="10" t="n">
        <v>5</v>
      </c>
      <c r="C8" s="11" t="s">
        <v>202</v>
      </c>
    </row>
    <row r="10" customFormat="false" ht="15" hidden="false" customHeight="false" outlineLevel="0" collapsed="false">
      <c r="A10" s="0" t="s">
        <v>203</v>
      </c>
      <c r="B10" s="17" t="n">
        <f aca="false">(B6-B7)/B8</f>
        <v>600</v>
      </c>
    </row>
    <row r="11" customFormat="false" ht="15" hidden="false" customHeight="false" outlineLevel="0" collapsed="false">
      <c r="B11" s="5" t="s">
        <v>204</v>
      </c>
    </row>
    <row r="13" customFormat="false" ht="15" hidden="false" customHeight="false" outlineLevel="0" collapsed="false">
      <c r="A13" s="1" t="s">
        <v>205</v>
      </c>
    </row>
    <row r="14" customFormat="false" ht="15" hidden="false" customHeight="false" outlineLevel="0" collapsed="false">
      <c r="A14" s="0" t="s">
        <v>198</v>
      </c>
    </row>
    <row r="15" customFormat="false" ht="15" hidden="false" customHeight="false" outlineLevel="0" collapsed="false">
      <c r="A15" s="0" t="s">
        <v>199</v>
      </c>
      <c r="B15" s="10" t="n">
        <f aca="false">4500</f>
        <v>4500</v>
      </c>
    </row>
    <row r="16" customFormat="false" ht="15" hidden="false" customHeight="false" outlineLevel="0" collapsed="false">
      <c r="A16" s="0" t="s">
        <v>200</v>
      </c>
      <c r="B16" s="10" t="n">
        <v>1200</v>
      </c>
    </row>
    <row r="17" customFormat="false" ht="15" hidden="false" customHeight="false" outlineLevel="0" collapsed="false">
      <c r="A17" s="0" t="s">
        <v>201</v>
      </c>
      <c r="B17" s="10" t="n">
        <v>5</v>
      </c>
      <c r="C17" s="11" t="s">
        <v>202</v>
      </c>
    </row>
    <row r="19" customFormat="false" ht="15" hidden="false" customHeight="false" outlineLevel="0" collapsed="false">
      <c r="A19" s="0" t="s">
        <v>203</v>
      </c>
      <c r="B19" s="17" t="n">
        <f aca="false">(B15-B16)/B17</f>
        <v>660</v>
      </c>
    </row>
    <row r="20" customFormat="false" ht="15" hidden="false" customHeight="false" outlineLevel="0" collapsed="false">
      <c r="B20" s="5" t="s">
        <v>204</v>
      </c>
    </row>
    <row r="22" customFormat="false" ht="15" hidden="false" customHeight="false" outlineLevel="0" collapsed="false">
      <c r="A22" s="1" t="s">
        <v>206</v>
      </c>
      <c r="B22" s="17" t="n">
        <f aca="false">B10+B19</f>
        <v>1260</v>
      </c>
    </row>
    <row r="23" customFormat="false" ht="15" hidden="false" customHeight="false" outlineLevel="0" collapsed="false">
      <c r="A23" s="0" t="s">
        <v>207</v>
      </c>
      <c r="B23" s="10" t="n">
        <v>192</v>
      </c>
    </row>
    <row r="24" customFormat="false" ht="15" hidden="false" customHeight="false" outlineLevel="0" collapsed="false">
      <c r="A24" s="1" t="s">
        <v>208</v>
      </c>
      <c r="B24" s="17" t="n">
        <f aca="false">B22/B23</f>
        <v>6.5625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2026-04-06T20:32:54Z</dcterms:created>
  <dc:creator>openpyxl</dc:creator>
  <dc:description/>
  <dc:language>en-US</dc:language>
  <cp:lastModifiedBy/>
  <dcterms:modified xsi:type="dcterms:W3CDTF">2026-04-06T20:32:54Z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